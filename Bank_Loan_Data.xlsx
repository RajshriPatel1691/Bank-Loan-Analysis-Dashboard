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80" yWindow="1068" windowWidth="22140" windowHeight="8388" activeTab="3"/>
  </bookViews>
  <sheets>
    <sheet name="Sheet1" sheetId="3" r:id="rId1"/>
    <sheet name="Raw_Data" sheetId="1" r:id="rId2"/>
    <sheet name="Clean_Data" sheetId="2" r:id="rId3"/>
    <sheet name="Dashboard" sheetId="4" r:id="rId4"/>
  </sheets>
  <calcPr calcId="124519"/>
  <pivotCaches>
    <pivotCache cacheId="0" r:id="rId5"/>
  </pivotCaches>
</workbook>
</file>

<file path=xl/calcChain.xml><?xml version="1.0" encoding="utf-8"?>
<calcChain xmlns="http://schemas.openxmlformats.org/spreadsheetml/2006/main">
  <c r="K17" i="2"/>
  <c r="L2"/>
  <c r="L5" s="1"/>
  <c r="L6"/>
  <c r="L4"/>
  <c r="L3"/>
</calcChain>
</file>

<file path=xl/sharedStrings.xml><?xml version="1.0" encoding="utf-8"?>
<sst xmlns="http://schemas.openxmlformats.org/spreadsheetml/2006/main" count="179" uniqueCount="49">
  <si>
    <t>Loan_ID</t>
  </si>
  <si>
    <t>Gender</t>
  </si>
  <si>
    <t>Education</t>
  </si>
  <si>
    <t>ApplicantIncome</t>
  </si>
  <si>
    <t>LoanAmount</t>
  </si>
  <si>
    <t>Credit_History</t>
  </si>
  <si>
    <t>Loan_Term</t>
  </si>
  <si>
    <t>Property_Area</t>
  </si>
  <si>
    <t>Loan_Status</t>
  </si>
  <si>
    <t>BL001</t>
  </si>
  <si>
    <t>Male</t>
  </si>
  <si>
    <t>Graduate</t>
  </si>
  <si>
    <t>Urban</t>
  </si>
  <si>
    <t>Y</t>
  </si>
  <si>
    <t>BL002</t>
  </si>
  <si>
    <t>Female</t>
  </si>
  <si>
    <t>Semiurban</t>
  </si>
  <si>
    <t>BL003</t>
  </si>
  <si>
    <t>Not Graduate</t>
  </si>
  <si>
    <t>Rural</t>
  </si>
  <si>
    <t>N</t>
  </si>
  <si>
    <t>BL004</t>
  </si>
  <si>
    <t>BL005</t>
  </si>
  <si>
    <t>BL006</t>
  </si>
  <si>
    <t>BL007</t>
  </si>
  <si>
    <t>BL008</t>
  </si>
  <si>
    <t>BL009</t>
  </si>
  <si>
    <t>BL010</t>
  </si>
  <si>
    <t>BL011</t>
  </si>
  <si>
    <t>BL012</t>
  </si>
  <si>
    <t>BL013</t>
  </si>
  <si>
    <t>BL014</t>
  </si>
  <si>
    <t>BL015</t>
  </si>
  <si>
    <t>BL016</t>
  </si>
  <si>
    <t>BL017</t>
  </si>
  <si>
    <t>BL018</t>
  </si>
  <si>
    <t>BL019</t>
  </si>
  <si>
    <t>BL020</t>
  </si>
  <si>
    <t>Total Applications</t>
  </si>
  <si>
    <t>Approved Loans</t>
  </si>
  <si>
    <t>Rejected Loans</t>
  </si>
  <si>
    <t>Approval Rate</t>
  </si>
  <si>
    <t>Average Loan Amount</t>
  </si>
  <si>
    <t>Row Labels</t>
  </si>
  <si>
    <t>Grand Total</t>
  </si>
  <si>
    <t>Count of Loan_ID</t>
  </si>
  <si>
    <t>Count of LoanAmount</t>
  </si>
  <si>
    <t>Column Labels</t>
  </si>
  <si>
    <t>Sum of LoanAmount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</si>
</sst>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0" fontId="2" fillId="2" borderId="1" xfId="2"/>
    <xf numFmtId="0" fontId="0" fillId="0" borderId="0" xfId="0" applyAlignment="1">
      <alignment wrapText="1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4" borderId="0" xfId="3" applyFill="1"/>
  </cellXfs>
  <cellStyles count="4">
    <cellStyle name="20% - Accent4" xfId="3" builtinId="42"/>
    <cellStyle name="Calculation" xfId="2" builtinId="22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[Bank_Loan_Data.xlsx]Sheet1!PivotTable12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Loan Amount Distribution by Branch and Area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900428819636982"/>
          <c:y val="0.21128118839916804"/>
          <c:w val="0.69817991941148261"/>
          <c:h val="0.63266491325513818"/>
        </c:manualLayout>
      </c:layout>
      <c:barChart>
        <c:barDir val="col"/>
        <c:grouping val="stacked"/>
        <c:ser>
          <c:idx val="0"/>
          <c:order val="0"/>
          <c:tx>
            <c:strRef>
              <c:f>Sheet1!$Q$6:$Q$7</c:f>
              <c:strCache>
                <c:ptCount val="1"/>
                <c:pt idx="0">
                  <c:v>Rural</c:v>
                </c:pt>
              </c:strCache>
            </c:strRef>
          </c:tx>
          <c:cat>
            <c:strRef>
              <c:f>Sheet1!$P$8:$P$28</c:f>
              <c:strCache>
                <c:ptCount val="20"/>
                <c:pt idx="0">
                  <c:v>BL001</c:v>
                </c:pt>
                <c:pt idx="1">
                  <c:v>BL002</c:v>
                </c:pt>
                <c:pt idx="2">
                  <c:v>BL003</c:v>
                </c:pt>
                <c:pt idx="3">
                  <c:v>BL004</c:v>
                </c:pt>
                <c:pt idx="4">
                  <c:v>BL005</c:v>
                </c:pt>
                <c:pt idx="5">
                  <c:v>BL006</c:v>
                </c:pt>
                <c:pt idx="6">
                  <c:v>BL007</c:v>
                </c:pt>
                <c:pt idx="7">
                  <c:v>BL008</c:v>
                </c:pt>
                <c:pt idx="8">
                  <c:v>BL009</c:v>
                </c:pt>
                <c:pt idx="9">
                  <c:v>BL010</c:v>
                </c:pt>
                <c:pt idx="10">
                  <c:v>BL011</c:v>
                </c:pt>
                <c:pt idx="11">
                  <c:v>BL012</c:v>
                </c:pt>
                <c:pt idx="12">
                  <c:v>BL013</c:v>
                </c:pt>
                <c:pt idx="13">
                  <c:v>BL014</c:v>
                </c:pt>
                <c:pt idx="14">
                  <c:v>BL015</c:v>
                </c:pt>
                <c:pt idx="15">
                  <c:v>BL016</c:v>
                </c:pt>
                <c:pt idx="16">
                  <c:v>BL017</c:v>
                </c:pt>
                <c:pt idx="17">
                  <c:v>BL018</c:v>
                </c:pt>
                <c:pt idx="18">
                  <c:v>BL019</c:v>
                </c:pt>
                <c:pt idx="19">
                  <c:v>BL020</c:v>
                </c:pt>
              </c:strCache>
            </c:strRef>
          </c:cat>
          <c:val>
            <c:numRef>
              <c:f>Sheet1!$Q$8:$Q$28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180000</c:v>
                </c:pt>
                <c:pt idx="3">
                  <c:v>0</c:v>
                </c:pt>
                <c:pt idx="4">
                  <c:v>0</c:v>
                </c:pt>
                <c:pt idx="5">
                  <c:v>120000</c:v>
                </c:pt>
                <c:pt idx="6">
                  <c:v>0</c:v>
                </c:pt>
                <c:pt idx="7">
                  <c:v>0</c:v>
                </c:pt>
                <c:pt idx="8">
                  <c:v>140000</c:v>
                </c:pt>
                <c:pt idx="9">
                  <c:v>0</c:v>
                </c:pt>
                <c:pt idx="10">
                  <c:v>0</c:v>
                </c:pt>
                <c:pt idx="11">
                  <c:v>170000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150000</c:v>
                </c:pt>
                <c:pt idx="17">
                  <c:v>0</c:v>
                </c:pt>
                <c:pt idx="18">
                  <c:v>0</c:v>
                </c:pt>
                <c:pt idx="19">
                  <c:v>140000</c:v>
                </c:pt>
              </c:numCache>
            </c:numRef>
          </c:val>
        </c:ser>
        <c:ser>
          <c:idx val="1"/>
          <c:order val="1"/>
          <c:tx>
            <c:strRef>
              <c:f>Sheet1!$R$6:$R$7</c:f>
              <c:strCache>
                <c:ptCount val="1"/>
                <c:pt idx="0">
                  <c:v>Semiurban</c:v>
                </c:pt>
              </c:strCache>
            </c:strRef>
          </c:tx>
          <c:cat>
            <c:strRef>
              <c:f>Sheet1!$P$8:$P$28</c:f>
              <c:strCache>
                <c:ptCount val="20"/>
                <c:pt idx="0">
                  <c:v>BL001</c:v>
                </c:pt>
                <c:pt idx="1">
                  <c:v>BL002</c:v>
                </c:pt>
                <c:pt idx="2">
                  <c:v>BL003</c:v>
                </c:pt>
                <c:pt idx="3">
                  <c:v>BL004</c:v>
                </c:pt>
                <c:pt idx="4">
                  <c:v>BL005</c:v>
                </c:pt>
                <c:pt idx="5">
                  <c:v>BL006</c:v>
                </c:pt>
                <c:pt idx="6">
                  <c:v>BL007</c:v>
                </c:pt>
                <c:pt idx="7">
                  <c:v>BL008</c:v>
                </c:pt>
                <c:pt idx="8">
                  <c:v>BL009</c:v>
                </c:pt>
                <c:pt idx="9">
                  <c:v>BL010</c:v>
                </c:pt>
                <c:pt idx="10">
                  <c:v>BL011</c:v>
                </c:pt>
                <c:pt idx="11">
                  <c:v>BL012</c:v>
                </c:pt>
                <c:pt idx="12">
                  <c:v>BL013</c:v>
                </c:pt>
                <c:pt idx="13">
                  <c:v>BL014</c:v>
                </c:pt>
                <c:pt idx="14">
                  <c:v>BL015</c:v>
                </c:pt>
                <c:pt idx="15">
                  <c:v>BL016</c:v>
                </c:pt>
                <c:pt idx="16">
                  <c:v>BL017</c:v>
                </c:pt>
                <c:pt idx="17">
                  <c:v>BL018</c:v>
                </c:pt>
                <c:pt idx="18">
                  <c:v>BL019</c:v>
                </c:pt>
                <c:pt idx="19">
                  <c:v>BL020</c:v>
                </c:pt>
              </c:strCache>
            </c:strRef>
          </c:cat>
          <c:val>
            <c:numRef>
              <c:f>Sheet1!$R$8:$R$28</c:f>
              <c:numCache>
                <c:formatCode>General</c:formatCode>
                <c:ptCount val="20"/>
                <c:pt idx="0">
                  <c:v>0</c:v>
                </c:pt>
                <c:pt idx="1">
                  <c:v>150000</c:v>
                </c:pt>
                <c:pt idx="2">
                  <c:v>0</c:v>
                </c:pt>
                <c:pt idx="3">
                  <c:v>0</c:v>
                </c:pt>
                <c:pt idx="4">
                  <c:v>160000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230000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130000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200000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Sheet1!$S$6:$S$7</c:f>
              <c:strCache>
                <c:ptCount val="1"/>
                <c:pt idx="0">
                  <c:v>Urban</c:v>
                </c:pt>
              </c:strCache>
            </c:strRef>
          </c:tx>
          <c:cat>
            <c:strRef>
              <c:f>Sheet1!$P$8:$P$28</c:f>
              <c:strCache>
                <c:ptCount val="20"/>
                <c:pt idx="0">
                  <c:v>BL001</c:v>
                </c:pt>
                <c:pt idx="1">
                  <c:v>BL002</c:v>
                </c:pt>
                <c:pt idx="2">
                  <c:v>BL003</c:v>
                </c:pt>
                <c:pt idx="3">
                  <c:v>BL004</c:v>
                </c:pt>
                <c:pt idx="4">
                  <c:v>BL005</c:v>
                </c:pt>
                <c:pt idx="5">
                  <c:v>BL006</c:v>
                </c:pt>
                <c:pt idx="6">
                  <c:v>BL007</c:v>
                </c:pt>
                <c:pt idx="7">
                  <c:v>BL008</c:v>
                </c:pt>
                <c:pt idx="8">
                  <c:v>BL009</c:v>
                </c:pt>
                <c:pt idx="9">
                  <c:v>BL010</c:v>
                </c:pt>
                <c:pt idx="10">
                  <c:v>BL011</c:v>
                </c:pt>
                <c:pt idx="11">
                  <c:v>BL012</c:v>
                </c:pt>
                <c:pt idx="12">
                  <c:v>BL013</c:v>
                </c:pt>
                <c:pt idx="13">
                  <c:v>BL014</c:v>
                </c:pt>
                <c:pt idx="14">
                  <c:v>BL015</c:v>
                </c:pt>
                <c:pt idx="15">
                  <c:v>BL016</c:v>
                </c:pt>
                <c:pt idx="16">
                  <c:v>BL017</c:v>
                </c:pt>
                <c:pt idx="17">
                  <c:v>BL018</c:v>
                </c:pt>
                <c:pt idx="18">
                  <c:v>BL019</c:v>
                </c:pt>
                <c:pt idx="19">
                  <c:v>BL020</c:v>
                </c:pt>
              </c:strCache>
            </c:strRef>
          </c:cat>
          <c:val>
            <c:numRef>
              <c:f>Sheet1!$S$8:$S$28</c:f>
              <c:numCache>
                <c:formatCode>General</c:formatCode>
                <c:ptCount val="20"/>
                <c:pt idx="0">
                  <c:v>200000</c:v>
                </c:pt>
                <c:pt idx="1">
                  <c:v>0</c:v>
                </c:pt>
                <c:pt idx="2">
                  <c:v>0</c:v>
                </c:pt>
                <c:pt idx="3">
                  <c:v>210000</c:v>
                </c:pt>
                <c:pt idx="4">
                  <c:v>0</c:v>
                </c:pt>
                <c:pt idx="5">
                  <c:v>0</c:v>
                </c:pt>
                <c:pt idx="6">
                  <c:v>250000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190000</c:v>
                </c:pt>
                <c:pt idx="11">
                  <c:v>0</c:v>
                </c:pt>
                <c:pt idx="12">
                  <c:v>240000</c:v>
                </c:pt>
                <c:pt idx="13">
                  <c:v>0</c:v>
                </c:pt>
                <c:pt idx="14">
                  <c:v>220000</c:v>
                </c:pt>
                <c:pt idx="15">
                  <c:v>180000</c:v>
                </c:pt>
                <c:pt idx="16">
                  <c:v>0</c:v>
                </c:pt>
                <c:pt idx="17">
                  <c:v>0</c:v>
                </c:pt>
                <c:pt idx="18">
                  <c:v>260000</c:v>
                </c:pt>
                <c:pt idx="19">
                  <c:v>0</c:v>
                </c:pt>
              </c:numCache>
            </c:numRef>
          </c:val>
        </c:ser>
        <c:overlap val="100"/>
        <c:axId val="176878720"/>
        <c:axId val="176880256"/>
      </c:barChart>
      <c:catAx>
        <c:axId val="176878720"/>
        <c:scaling>
          <c:orientation val="minMax"/>
        </c:scaling>
        <c:axPos val="b"/>
        <c:tickLblPos val="nextTo"/>
        <c:crossAx val="176880256"/>
        <c:crosses val="autoZero"/>
        <c:auto val="1"/>
        <c:lblAlgn val="ctr"/>
        <c:lblOffset val="100"/>
      </c:catAx>
      <c:valAx>
        <c:axId val="176880256"/>
        <c:scaling>
          <c:orientation val="minMax"/>
        </c:scaling>
        <c:axPos val="l"/>
        <c:majorGridlines/>
        <c:numFmt formatCode="General" sourceLinked="1"/>
        <c:tickLblPos val="nextTo"/>
        <c:crossAx val="176878720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[Bank_Loan_Data.xlsx]Sheet1!PivotTable3</c:name>
    <c:fmtId val="2"/>
  </c:pivotSource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 Loan Approval Status</a:t>
            </a:r>
          </a:p>
          <a:p>
            <a:pPr>
              <a:defRPr sz="1600"/>
            </a:pPr>
            <a:endParaRPr lang="en-US" sz="1600"/>
          </a:p>
          <a:p>
            <a:pPr>
              <a:defRPr sz="1600"/>
            </a:pPr>
            <a:endParaRPr lang="en-US" sz="1600"/>
          </a:p>
        </c:rich>
      </c:tx>
      <c:layout>
        <c:manualLayout>
          <c:xMode val="edge"/>
          <c:yMode val="edge"/>
          <c:x val="0.28659111225227285"/>
          <c:y val="3.8885835951598183E-3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</c:dLbl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728018372703456"/>
          <c:y val="0.12658729671589808"/>
          <c:w val="0.82605314960629916"/>
          <c:h val="0.74740129243954023"/>
        </c:manualLayout>
      </c:layout>
      <c:barChart>
        <c:barDir val="col"/>
        <c:grouping val="stack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Sheet1!$A$4:$A$6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7</c:v>
                </c:pt>
                <c:pt idx="1">
                  <c:v>13</c:v>
                </c:pt>
              </c:numCache>
            </c:numRef>
          </c:val>
        </c:ser>
        <c:gapWidth val="300"/>
        <c:overlap val="100"/>
        <c:axId val="177562752"/>
        <c:axId val="177564672"/>
      </c:barChart>
      <c:catAx>
        <c:axId val="177562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Loan Status</a:t>
                </a:r>
              </a:p>
            </c:rich>
          </c:tx>
          <c:layout/>
        </c:title>
        <c:majorTickMark val="none"/>
        <c:tickLblPos val="nextTo"/>
        <c:crossAx val="177564672"/>
        <c:crosses val="autoZero"/>
        <c:auto val="1"/>
        <c:lblAlgn val="ctr"/>
        <c:lblOffset val="100"/>
      </c:catAx>
      <c:valAx>
        <c:axId val="177564672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Loans</a:t>
                </a:r>
              </a:p>
            </c:rich>
          </c:tx>
          <c:layout/>
        </c:title>
        <c:numFmt formatCode="General" sourceLinked="1"/>
        <c:tickLblPos val="nextTo"/>
        <c:crossAx val="177562752"/>
        <c:crosses val="autoZero"/>
        <c:crossBetween val="between"/>
      </c:valAx>
    </c:plotArea>
    <c:plotVisOnly val="1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5400000" scaled="0"/>
    </a:gradFill>
    <a:ln w="12700"/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[Bank_Loan_Data.xlsx]Sheet1!PivotTable4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 sz="1600" b="1" i="0" baseline="0"/>
              <a:t>Loan Distribution by Property Area</a:t>
            </a:r>
            <a:endParaRPr lang="en-US" sz="160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ln>
            <a:solidFill>
              <a:schemeClr val="accent1"/>
            </a:solidFill>
          </a:ln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  <c:showCatName val="1"/>
          <c:showPercent val="1"/>
        </c:dLbl>
      </c:pivotFmt>
    </c:pivotFmts>
    <c:plotArea>
      <c:layout>
        <c:manualLayout>
          <c:layoutTarget val="inner"/>
          <c:xMode val="edge"/>
          <c:yMode val="edge"/>
          <c:x val="0.11782174103237107"/>
          <c:y val="0.16714129483814524"/>
          <c:w val="0.76392957130358941"/>
          <c:h val="0.70563247302420562"/>
        </c:manualLayout>
      </c:layout>
      <c:pieChart>
        <c:varyColors val="1"/>
        <c:ser>
          <c:idx val="0"/>
          <c:order val="0"/>
          <c:tx>
            <c:strRef>
              <c:f>Sheet1!$G$22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CatName val="1"/>
            <c:showPercent val="1"/>
            <c:showLeaderLines val="1"/>
          </c:dLbls>
          <c:cat>
            <c:strRef>
              <c:f>Sheet1!$F$23:$F$26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Sheet1!$G$23:$G$26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9</c:v>
                </c:pt>
              </c:numCache>
            </c:numRef>
          </c:val>
        </c:ser>
        <c:firstSliceAng val="0"/>
      </c:pieChart>
    </c:plotArea>
    <c:plotVisOnly val="1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  <a:ln w="12700"/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[Bank_Loan_Data.xlsx]Sheet1!PivotTable6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Loan Approval Status by Education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171062992125968"/>
          <c:y val="0.17177092446777489"/>
          <c:w val="0.78095734908136361"/>
          <c:h val="0.70100284339457686"/>
        </c:manualLayout>
      </c:layout>
      <c:barChart>
        <c:barDir val="col"/>
        <c:grouping val="clustered"/>
        <c:ser>
          <c:idx val="0"/>
          <c:order val="0"/>
          <c:tx>
            <c:strRef>
              <c:f>Sheet1!$M$21:$M$22</c:f>
              <c:strCache>
                <c:ptCount val="1"/>
                <c:pt idx="0">
                  <c:v>N</c:v>
                </c:pt>
              </c:strCache>
            </c:strRef>
          </c:tx>
          <c:cat>
            <c:strRef>
              <c:f>Sheet1!$L$23:$L$25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Sheet1!$M$23:$M$25</c:f>
              <c:numCache>
                <c:formatCode>General</c:formatCode>
                <c:ptCount val="2"/>
                <c:pt idx="1">
                  <c:v>7</c:v>
                </c:pt>
              </c:numCache>
            </c:numRef>
          </c:val>
        </c:ser>
        <c:ser>
          <c:idx val="1"/>
          <c:order val="1"/>
          <c:tx>
            <c:strRef>
              <c:f>Sheet1!$N$21:$N$22</c:f>
              <c:strCache>
                <c:ptCount val="1"/>
                <c:pt idx="0">
                  <c:v>Y</c:v>
                </c:pt>
              </c:strCache>
            </c:strRef>
          </c:tx>
          <c:cat>
            <c:strRef>
              <c:f>Sheet1!$L$23:$L$25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Sheet1!$N$23:$N$25</c:f>
              <c:numCache>
                <c:formatCode>General</c:formatCode>
                <c:ptCount val="2"/>
                <c:pt idx="0">
                  <c:v>13</c:v>
                </c:pt>
              </c:numCache>
            </c:numRef>
          </c:val>
        </c:ser>
        <c:axId val="177692672"/>
        <c:axId val="177694592"/>
      </c:barChart>
      <c:catAx>
        <c:axId val="177692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Education Level</a:t>
                </a:r>
                <a:endParaRPr lang="en-US"/>
              </a:p>
            </c:rich>
          </c:tx>
          <c:layout/>
        </c:title>
        <c:tickLblPos val="nextTo"/>
        <c:crossAx val="177694592"/>
        <c:crosses val="autoZero"/>
        <c:auto val="1"/>
        <c:lblAlgn val="ctr"/>
        <c:lblOffset val="100"/>
      </c:catAx>
      <c:valAx>
        <c:axId val="177694592"/>
        <c:scaling>
          <c:orientation val="minMax"/>
        </c:scaling>
        <c:axPos val="l"/>
        <c:majorGridlines/>
        <c:title>
          <c:tx>
            <c:rich>
              <a:bodyPr rot="0" vert="wordArtVert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Number of Loans</a:t>
                </a:r>
              </a:p>
            </c:rich>
          </c:tx>
          <c:layout/>
        </c:title>
        <c:numFmt formatCode="General" sourceLinked="1"/>
        <c:tickLblPos val="nextTo"/>
        <c:crossAx val="177692672"/>
        <c:crosses val="autoZero"/>
        <c:crossBetween val="between"/>
      </c:valAx>
    </c:plotArea>
    <c:plotVisOnly val="1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5400000" scaled="0"/>
    </a:gradFill>
    <a:ln w="12700"/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[Bank_Loan_Data.xlsx]Sheet1!PivotTable5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Credit History Impact on Loan Approval</a:t>
            </a:r>
          </a:p>
        </c:rich>
      </c:tx>
      <c:layout>
        <c:manualLayout>
          <c:xMode val="edge"/>
          <c:yMode val="edge"/>
          <c:x val="0.22926721710393491"/>
          <c:y val="1.0785671021891497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252097164325037"/>
          <c:y val="0.26087659831291204"/>
          <c:w val="0.76393657042869778"/>
          <c:h val="0.56733377077865155"/>
        </c:manualLayout>
      </c:layout>
      <c:barChart>
        <c:barDir val="bar"/>
        <c:grouping val="stacked"/>
        <c:ser>
          <c:idx val="0"/>
          <c:order val="0"/>
          <c:tx>
            <c:strRef>
              <c:f>Sheet1!$B$15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Sheet1!$A$16:$A$18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Sheet1!$B$16:$B$18</c:f>
              <c:numCache>
                <c:formatCode>General</c:formatCode>
                <c:ptCount val="2"/>
                <c:pt idx="0">
                  <c:v>7</c:v>
                </c:pt>
                <c:pt idx="1">
                  <c:v>13</c:v>
                </c:pt>
              </c:numCache>
            </c:numRef>
          </c:val>
        </c:ser>
        <c:overlap val="100"/>
        <c:axId val="177706496"/>
        <c:axId val="177708416"/>
      </c:barChart>
      <c:catAx>
        <c:axId val="17770649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 Loans</a:t>
                </a:r>
              </a:p>
            </c:rich>
          </c:tx>
          <c:layout/>
        </c:title>
        <c:tickLblPos val="nextTo"/>
        <c:crossAx val="177708416"/>
        <c:crosses val="autoZero"/>
        <c:auto val="1"/>
        <c:lblAlgn val="ctr"/>
        <c:lblOffset val="100"/>
      </c:catAx>
      <c:valAx>
        <c:axId val="177708416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Credit History</a:t>
                </a:r>
              </a:p>
            </c:rich>
          </c:tx>
          <c:layout/>
        </c:title>
        <c:numFmt formatCode="General" sourceLinked="1"/>
        <c:tickLblPos val="nextTo"/>
        <c:crossAx val="177706496"/>
        <c:crosses val="autoZero"/>
        <c:crossBetween val="between"/>
      </c:valAx>
    </c:plotArea>
    <c:plotVisOnly val="1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  <a:ln w="12700" cmpd="sng"/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pivotSource>
    <c:name>[Bank_Loan_Data.xlsx]Sheet1!PivotTable12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Loan Amount Distribution by Branch and Area</a:t>
            </a:r>
            <a:endParaRPr lang="en-US"/>
          </a:p>
        </c:rich>
      </c:tx>
      <c:layout>
        <c:manualLayout>
          <c:xMode val="edge"/>
          <c:yMode val="edge"/>
          <c:x val="0.1314025359506118"/>
          <c:y val="2.0655220457884507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900428819636982"/>
          <c:y val="0.21128118839916812"/>
          <c:w val="0.69817991941148283"/>
          <c:h val="0.63266491325513863"/>
        </c:manualLayout>
      </c:layout>
      <c:barChart>
        <c:barDir val="col"/>
        <c:grouping val="stacked"/>
        <c:ser>
          <c:idx val="0"/>
          <c:order val="0"/>
          <c:tx>
            <c:strRef>
              <c:f>Sheet1!$Q$6:$Q$7</c:f>
              <c:strCache>
                <c:ptCount val="1"/>
                <c:pt idx="0">
                  <c:v>Rural</c:v>
                </c:pt>
              </c:strCache>
            </c:strRef>
          </c:tx>
          <c:cat>
            <c:strRef>
              <c:f>Sheet1!$P$8:$P$28</c:f>
              <c:strCache>
                <c:ptCount val="20"/>
                <c:pt idx="0">
                  <c:v>BL001</c:v>
                </c:pt>
                <c:pt idx="1">
                  <c:v>BL002</c:v>
                </c:pt>
                <c:pt idx="2">
                  <c:v>BL003</c:v>
                </c:pt>
                <c:pt idx="3">
                  <c:v>BL004</c:v>
                </c:pt>
                <c:pt idx="4">
                  <c:v>BL005</c:v>
                </c:pt>
                <c:pt idx="5">
                  <c:v>BL006</c:v>
                </c:pt>
                <c:pt idx="6">
                  <c:v>BL007</c:v>
                </c:pt>
                <c:pt idx="7">
                  <c:v>BL008</c:v>
                </c:pt>
                <c:pt idx="8">
                  <c:v>BL009</c:v>
                </c:pt>
                <c:pt idx="9">
                  <c:v>BL010</c:v>
                </c:pt>
                <c:pt idx="10">
                  <c:v>BL011</c:v>
                </c:pt>
                <c:pt idx="11">
                  <c:v>BL012</c:v>
                </c:pt>
                <c:pt idx="12">
                  <c:v>BL013</c:v>
                </c:pt>
                <c:pt idx="13">
                  <c:v>BL014</c:v>
                </c:pt>
                <c:pt idx="14">
                  <c:v>BL015</c:v>
                </c:pt>
                <c:pt idx="15">
                  <c:v>BL016</c:v>
                </c:pt>
                <c:pt idx="16">
                  <c:v>BL017</c:v>
                </c:pt>
                <c:pt idx="17">
                  <c:v>BL018</c:v>
                </c:pt>
                <c:pt idx="18">
                  <c:v>BL019</c:v>
                </c:pt>
                <c:pt idx="19">
                  <c:v>BL020</c:v>
                </c:pt>
              </c:strCache>
            </c:strRef>
          </c:cat>
          <c:val>
            <c:numRef>
              <c:f>Sheet1!$Q$8:$Q$28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180000</c:v>
                </c:pt>
                <c:pt idx="3">
                  <c:v>0</c:v>
                </c:pt>
                <c:pt idx="4">
                  <c:v>0</c:v>
                </c:pt>
                <c:pt idx="5">
                  <c:v>120000</c:v>
                </c:pt>
                <c:pt idx="6">
                  <c:v>0</c:v>
                </c:pt>
                <c:pt idx="7">
                  <c:v>0</c:v>
                </c:pt>
                <c:pt idx="8">
                  <c:v>140000</c:v>
                </c:pt>
                <c:pt idx="9">
                  <c:v>0</c:v>
                </c:pt>
                <c:pt idx="10">
                  <c:v>0</c:v>
                </c:pt>
                <c:pt idx="11">
                  <c:v>170000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150000</c:v>
                </c:pt>
                <c:pt idx="17">
                  <c:v>0</c:v>
                </c:pt>
                <c:pt idx="18">
                  <c:v>0</c:v>
                </c:pt>
                <c:pt idx="19">
                  <c:v>140000</c:v>
                </c:pt>
              </c:numCache>
            </c:numRef>
          </c:val>
        </c:ser>
        <c:ser>
          <c:idx val="1"/>
          <c:order val="1"/>
          <c:tx>
            <c:strRef>
              <c:f>Sheet1!$R$6:$R$7</c:f>
              <c:strCache>
                <c:ptCount val="1"/>
                <c:pt idx="0">
                  <c:v>Semiurban</c:v>
                </c:pt>
              </c:strCache>
            </c:strRef>
          </c:tx>
          <c:cat>
            <c:strRef>
              <c:f>Sheet1!$P$8:$P$28</c:f>
              <c:strCache>
                <c:ptCount val="20"/>
                <c:pt idx="0">
                  <c:v>BL001</c:v>
                </c:pt>
                <c:pt idx="1">
                  <c:v>BL002</c:v>
                </c:pt>
                <c:pt idx="2">
                  <c:v>BL003</c:v>
                </c:pt>
                <c:pt idx="3">
                  <c:v>BL004</c:v>
                </c:pt>
                <c:pt idx="4">
                  <c:v>BL005</c:v>
                </c:pt>
                <c:pt idx="5">
                  <c:v>BL006</c:v>
                </c:pt>
                <c:pt idx="6">
                  <c:v>BL007</c:v>
                </c:pt>
                <c:pt idx="7">
                  <c:v>BL008</c:v>
                </c:pt>
                <c:pt idx="8">
                  <c:v>BL009</c:v>
                </c:pt>
                <c:pt idx="9">
                  <c:v>BL010</c:v>
                </c:pt>
                <c:pt idx="10">
                  <c:v>BL011</c:v>
                </c:pt>
                <c:pt idx="11">
                  <c:v>BL012</c:v>
                </c:pt>
                <c:pt idx="12">
                  <c:v>BL013</c:v>
                </c:pt>
                <c:pt idx="13">
                  <c:v>BL014</c:v>
                </c:pt>
                <c:pt idx="14">
                  <c:v>BL015</c:v>
                </c:pt>
                <c:pt idx="15">
                  <c:v>BL016</c:v>
                </c:pt>
                <c:pt idx="16">
                  <c:v>BL017</c:v>
                </c:pt>
                <c:pt idx="17">
                  <c:v>BL018</c:v>
                </c:pt>
                <c:pt idx="18">
                  <c:v>BL019</c:v>
                </c:pt>
                <c:pt idx="19">
                  <c:v>BL020</c:v>
                </c:pt>
              </c:strCache>
            </c:strRef>
          </c:cat>
          <c:val>
            <c:numRef>
              <c:f>Sheet1!$R$8:$R$28</c:f>
              <c:numCache>
                <c:formatCode>General</c:formatCode>
                <c:ptCount val="20"/>
                <c:pt idx="0">
                  <c:v>0</c:v>
                </c:pt>
                <c:pt idx="1">
                  <c:v>150000</c:v>
                </c:pt>
                <c:pt idx="2">
                  <c:v>0</c:v>
                </c:pt>
                <c:pt idx="3">
                  <c:v>0</c:v>
                </c:pt>
                <c:pt idx="4">
                  <c:v>160000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230000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130000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200000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Sheet1!$S$6:$S$7</c:f>
              <c:strCache>
                <c:ptCount val="1"/>
                <c:pt idx="0">
                  <c:v>Urban</c:v>
                </c:pt>
              </c:strCache>
            </c:strRef>
          </c:tx>
          <c:cat>
            <c:strRef>
              <c:f>Sheet1!$P$8:$P$28</c:f>
              <c:strCache>
                <c:ptCount val="20"/>
                <c:pt idx="0">
                  <c:v>BL001</c:v>
                </c:pt>
                <c:pt idx="1">
                  <c:v>BL002</c:v>
                </c:pt>
                <c:pt idx="2">
                  <c:v>BL003</c:v>
                </c:pt>
                <c:pt idx="3">
                  <c:v>BL004</c:v>
                </c:pt>
                <c:pt idx="4">
                  <c:v>BL005</c:v>
                </c:pt>
                <c:pt idx="5">
                  <c:v>BL006</c:v>
                </c:pt>
                <c:pt idx="6">
                  <c:v>BL007</c:v>
                </c:pt>
                <c:pt idx="7">
                  <c:v>BL008</c:v>
                </c:pt>
                <c:pt idx="8">
                  <c:v>BL009</c:v>
                </c:pt>
                <c:pt idx="9">
                  <c:v>BL010</c:v>
                </c:pt>
                <c:pt idx="10">
                  <c:v>BL011</c:v>
                </c:pt>
                <c:pt idx="11">
                  <c:v>BL012</c:v>
                </c:pt>
                <c:pt idx="12">
                  <c:v>BL013</c:v>
                </c:pt>
                <c:pt idx="13">
                  <c:v>BL014</c:v>
                </c:pt>
                <c:pt idx="14">
                  <c:v>BL015</c:v>
                </c:pt>
                <c:pt idx="15">
                  <c:v>BL016</c:v>
                </c:pt>
                <c:pt idx="16">
                  <c:v>BL017</c:v>
                </c:pt>
                <c:pt idx="17">
                  <c:v>BL018</c:v>
                </c:pt>
                <c:pt idx="18">
                  <c:v>BL019</c:v>
                </c:pt>
                <c:pt idx="19">
                  <c:v>BL020</c:v>
                </c:pt>
              </c:strCache>
            </c:strRef>
          </c:cat>
          <c:val>
            <c:numRef>
              <c:f>Sheet1!$S$8:$S$28</c:f>
              <c:numCache>
                <c:formatCode>General</c:formatCode>
                <c:ptCount val="20"/>
                <c:pt idx="0">
                  <c:v>200000</c:v>
                </c:pt>
                <c:pt idx="1">
                  <c:v>0</c:v>
                </c:pt>
                <c:pt idx="2">
                  <c:v>0</c:v>
                </c:pt>
                <c:pt idx="3">
                  <c:v>210000</c:v>
                </c:pt>
                <c:pt idx="4">
                  <c:v>0</c:v>
                </c:pt>
                <c:pt idx="5">
                  <c:v>0</c:v>
                </c:pt>
                <c:pt idx="6">
                  <c:v>250000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190000</c:v>
                </c:pt>
                <c:pt idx="11">
                  <c:v>0</c:v>
                </c:pt>
                <c:pt idx="12">
                  <c:v>240000</c:v>
                </c:pt>
                <c:pt idx="13">
                  <c:v>0</c:v>
                </c:pt>
                <c:pt idx="14">
                  <c:v>220000</c:v>
                </c:pt>
                <c:pt idx="15">
                  <c:v>180000</c:v>
                </c:pt>
                <c:pt idx="16">
                  <c:v>0</c:v>
                </c:pt>
                <c:pt idx="17">
                  <c:v>0</c:v>
                </c:pt>
                <c:pt idx="18">
                  <c:v>260000</c:v>
                </c:pt>
                <c:pt idx="19">
                  <c:v>0</c:v>
                </c:pt>
              </c:numCache>
            </c:numRef>
          </c:val>
        </c:ser>
        <c:overlap val="100"/>
        <c:axId val="177816320"/>
        <c:axId val="177817856"/>
      </c:barChart>
      <c:catAx>
        <c:axId val="177816320"/>
        <c:scaling>
          <c:orientation val="minMax"/>
        </c:scaling>
        <c:axPos val="b"/>
        <c:tickLblPos val="nextTo"/>
        <c:crossAx val="177817856"/>
        <c:crosses val="autoZero"/>
        <c:auto val="1"/>
        <c:lblAlgn val="ctr"/>
        <c:lblOffset val="100"/>
      </c:catAx>
      <c:valAx>
        <c:axId val="177817856"/>
        <c:scaling>
          <c:orientation val="minMax"/>
        </c:scaling>
        <c:axPos val="l"/>
        <c:majorGridlines/>
        <c:numFmt formatCode="General" sourceLinked="1"/>
        <c:tickLblPos val="nextTo"/>
        <c:crossAx val="177816320"/>
        <c:crosses val="autoZero"/>
        <c:crossBetween val="between"/>
      </c:valAx>
    </c:plotArea>
    <c:legend>
      <c:legendPos val="r"/>
      <c:layout/>
    </c:legend>
    <c:plotVisOnly val="1"/>
    <c:dispBlanksAs val="gap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  <a:ln w="12700"/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815340</xdr:colOff>
      <xdr:row>8</xdr:row>
      <xdr:rowOff>144780</xdr:rowOff>
    </xdr:from>
    <xdr:to>
      <xdr:col>10</xdr:col>
      <xdr:colOff>571500</xdr:colOff>
      <xdr:row>28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68579</xdr:colOff>
      <xdr:row>0</xdr:row>
      <xdr:rowOff>22860</xdr:rowOff>
    </xdr:from>
    <xdr:ext cx="18094729" cy="698589"/>
    <xdr:sp macro="" textlink="">
      <xdr:nvSpPr>
        <xdr:cNvPr id="2" name="TextBox 1"/>
        <xdr:cNvSpPr txBox="1"/>
      </xdr:nvSpPr>
      <xdr:spPr>
        <a:xfrm>
          <a:off x="68579" y="22860"/>
          <a:ext cx="18094729" cy="698589"/>
        </a:xfrm>
        <a:prstGeom prst="rect">
          <a:avLst/>
        </a:prstGeom>
        <a:gradFill>
          <a:gsLst>
            <a:gs pos="0">
              <a:srgbClr val="4F81BD">
                <a:tint val="66000"/>
                <a:satMod val="160000"/>
              </a:srgbClr>
            </a:gs>
            <a:gs pos="50000">
              <a:srgbClr val="4F81BD">
                <a:tint val="44500"/>
                <a:satMod val="160000"/>
              </a:srgbClr>
            </a:gs>
            <a:gs pos="100000">
              <a:srgbClr val="4F81BD">
                <a:tint val="23500"/>
                <a:satMod val="160000"/>
              </a:srgbClr>
            </a:gs>
          </a:gsLst>
          <a:lin ang="5400000" scaled="0"/>
        </a:gradFill>
        <a:ln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sz="2400" b="1">
              <a:latin typeface="Arial Black" pitchFamily="34" charset="0"/>
            </a:rPr>
            <a:t>Bank Loan Analysis Dashboard</a:t>
          </a:r>
        </a:p>
        <a:p>
          <a:endParaRPr lang="en-US" sz="1100"/>
        </a:p>
      </xdr:txBody>
    </xdr:sp>
    <xdr:clientData/>
  </xdr:oneCellAnchor>
  <xdr:twoCellAnchor>
    <xdr:from>
      <xdr:col>0</xdr:col>
      <xdr:colOff>231005</xdr:colOff>
      <xdr:row>16</xdr:row>
      <xdr:rowOff>152402</xdr:rowOff>
    </xdr:from>
    <xdr:to>
      <xdr:col>9</xdr:col>
      <xdr:colOff>504605</xdr:colOff>
      <xdr:row>34</xdr:row>
      <xdr:rowOff>150438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117355</xdr:colOff>
      <xdr:row>5</xdr:row>
      <xdr:rowOff>47267</xdr:rowOff>
    </xdr:from>
    <xdr:to>
      <xdr:col>29</xdr:col>
      <xdr:colOff>540326</xdr:colOff>
      <xdr:row>13</xdr:row>
      <xdr:rowOff>146693</xdr:rowOff>
    </xdr:to>
    <xdr:sp macro="" textlink="">
      <xdr:nvSpPr>
        <xdr:cNvPr id="5" name="Rectangle 4"/>
        <xdr:cNvSpPr/>
      </xdr:nvSpPr>
      <xdr:spPr>
        <a:xfrm>
          <a:off x="117355" y="947812"/>
          <a:ext cx="18101371" cy="1540299"/>
        </a:xfrm>
        <a:prstGeom prst="rect">
          <a:avLst/>
        </a:prstGeom>
        <a:solidFill>
          <a:schemeClr val="tx2">
            <a:lumMod val="20000"/>
            <a:lumOff val="80000"/>
            <a:alpha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265273</xdr:colOff>
      <xdr:row>6</xdr:row>
      <xdr:rowOff>112157</xdr:rowOff>
    </xdr:from>
    <xdr:to>
      <xdr:col>12</xdr:col>
      <xdr:colOff>274873</xdr:colOff>
      <xdr:row>12</xdr:row>
      <xdr:rowOff>147503</xdr:rowOff>
    </xdr:to>
    <xdr:sp macro="" textlink="">
      <xdr:nvSpPr>
        <xdr:cNvPr id="9" name="Rounded Rectangle 8"/>
        <xdr:cNvSpPr/>
      </xdr:nvSpPr>
      <xdr:spPr>
        <a:xfrm>
          <a:off x="5142073" y="1192812"/>
          <a:ext cx="2448000" cy="1116000"/>
        </a:xfrm>
        <a:prstGeom prst="roundRect">
          <a:avLst/>
        </a:prstGeom>
        <a:solidFill>
          <a:schemeClr val="tx2">
            <a:lumMod val="20000"/>
            <a:lumOff val="80000"/>
            <a:alpha val="95000"/>
          </a:schemeClr>
        </a:solidFill>
        <a:ln>
          <a:noFill/>
        </a:ln>
        <a:scene3d>
          <a:camera prst="obliqueTopRigh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 Loan Amount</a:t>
          </a:r>
        </a:p>
        <a:p>
          <a:pPr algn="ctr"/>
          <a:r>
            <a:rPr lang="en-US" sz="1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(₹) </a:t>
          </a:r>
          <a:r>
            <a:rPr lang="en-US" sz="1800" b="1" i="0" u="none" strike="noStrike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3520000</a:t>
          </a:r>
          <a:r>
            <a:rPr lang="en-US" sz="1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</a:t>
          </a:r>
        </a:p>
      </xdr:txBody>
    </xdr:sp>
    <xdr:clientData/>
  </xdr:twoCellAnchor>
  <xdr:twoCellAnchor>
    <xdr:from>
      <xdr:col>18</xdr:col>
      <xdr:colOff>197629</xdr:colOff>
      <xdr:row>6</xdr:row>
      <xdr:rowOff>125910</xdr:rowOff>
    </xdr:from>
    <xdr:to>
      <xdr:col>22</xdr:col>
      <xdr:colOff>207229</xdr:colOff>
      <xdr:row>12</xdr:row>
      <xdr:rowOff>161256</xdr:rowOff>
    </xdr:to>
    <xdr:sp macro="" textlink="">
      <xdr:nvSpPr>
        <xdr:cNvPr id="12" name="Rounded Rectangle 11"/>
        <xdr:cNvSpPr/>
      </xdr:nvSpPr>
      <xdr:spPr>
        <a:xfrm>
          <a:off x="11170429" y="1206565"/>
          <a:ext cx="2448000" cy="1116000"/>
        </a:xfrm>
        <a:prstGeom prst="roundRect">
          <a:avLst/>
        </a:prstGeom>
        <a:solidFill>
          <a:schemeClr val="tx2">
            <a:lumMod val="20000"/>
            <a:lumOff val="80000"/>
            <a:alpha val="95000"/>
          </a:schemeClr>
        </a:solidFill>
        <a:ln>
          <a:noFill/>
        </a:ln>
        <a:scene3d>
          <a:camera prst="obliqueTopRigh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Rejected  Loans</a:t>
          </a:r>
        </a:p>
        <a:p>
          <a:pPr algn="ctr"/>
          <a:r>
            <a:rPr lang="en-US" sz="1800" b="1" i="0" u="none" strike="noStrike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7</a:t>
          </a:r>
          <a:r>
            <a:rPr lang="en-US" sz="1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</a:t>
          </a:r>
        </a:p>
      </xdr:txBody>
    </xdr:sp>
    <xdr:clientData/>
  </xdr:twoCellAnchor>
  <xdr:twoCellAnchor>
    <xdr:from>
      <xdr:col>13</xdr:col>
      <xdr:colOff>231451</xdr:colOff>
      <xdr:row>6</xdr:row>
      <xdr:rowOff>119033</xdr:rowOff>
    </xdr:from>
    <xdr:to>
      <xdr:col>17</xdr:col>
      <xdr:colOff>241051</xdr:colOff>
      <xdr:row>12</xdr:row>
      <xdr:rowOff>154379</xdr:rowOff>
    </xdr:to>
    <xdr:sp macro="" textlink="">
      <xdr:nvSpPr>
        <xdr:cNvPr id="13" name="Rounded Rectangle 12"/>
        <xdr:cNvSpPr/>
      </xdr:nvSpPr>
      <xdr:spPr>
        <a:xfrm>
          <a:off x="8156251" y="1199688"/>
          <a:ext cx="2448000" cy="1116000"/>
        </a:xfrm>
        <a:prstGeom prst="roundRect">
          <a:avLst/>
        </a:prstGeom>
        <a:solidFill>
          <a:schemeClr val="tx2">
            <a:lumMod val="20000"/>
            <a:lumOff val="80000"/>
            <a:alpha val="95000"/>
          </a:schemeClr>
        </a:solidFill>
        <a:ln>
          <a:noFill/>
        </a:ln>
        <a:scene3d>
          <a:camera prst="obliqueTopRigh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Approved Loans</a:t>
          </a:r>
        </a:p>
        <a:p>
          <a:pPr algn="ctr"/>
          <a:r>
            <a:rPr lang="en-US" sz="1800" b="1" i="0" u="none" strike="noStrike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13</a:t>
          </a:r>
          <a:r>
            <a:rPr lang="en-US" sz="1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</a:t>
          </a:r>
        </a:p>
      </xdr:txBody>
    </xdr:sp>
    <xdr:clientData/>
  </xdr:twoCellAnchor>
  <xdr:twoCellAnchor>
    <xdr:from>
      <xdr:col>15</xdr:col>
      <xdr:colOff>307132</xdr:colOff>
      <xdr:row>36</xdr:row>
      <xdr:rowOff>119801</xdr:rowOff>
    </xdr:from>
    <xdr:to>
      <xdr:col>27</xdr:col>
      <xdr:colOff>191932</xdr:colOff>
      <xdr:row>56</xdr:row>
      <xdr:rowOff>117619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299095</xdr:colOff>
      <xdr:row>6</xdr:row>
      <xdr:rowOff>105281</xdr:rowOff>
    </xdr:from>
    <xdr:to>
      <xdr:col>7</xdr:col>
      <xdr:colOff>308695</xdr:colOff>
      <xdr:row>12</xdr:row>
      <xdr:rowOff>140627</xdr:rowOff>
    </xdr:to>
    <xdr:sp macro="" textlink="">
      <xdr:nvSpPr>
        <xdr:cNvPr id="10" name="Rounded Rectangle 9"/>
        <xdr:cNvSpPr/>
      </xdr:nvSpPr>
      <xdr:spPr>
        <a:xfrm>
          <a:off x="2127895" y="1185936"/>
          <a:ext cx="2448000" cy="1116000"/>
        </a:xfrm>
        <a:prstGeom prst="roundRect">
          <a:avLst/>
        </a:prstGeom>
        <a:solidFill>
          <a:schemeClr val="tx2">
            <a:lumMod val="20000"/>
            <a:lumOff val="80000"/>
            <a:alpha val="95000"/>
          </a:schemeClr>
        </a:solidFill>
        <a:ln>
          <a:noFill/>
        </a:ln>
        <a:scene3d>
          <a:camera prst="obliqueTopRight"/>
          <a:lightRig rig="threePt" dir="t"/>
        </a:scene3d>
        <a:sp3d>
          <a:bevelT/>
          <a:bevelB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 Applications</a:t>
          </a:r>
          <a:endParaRPr lang="en-US" sz="1800" b="1" i="0" u="none" strike="noStrike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ctr"/>
          <a:r>
            <a:rPr lang="en-US" sz="1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20</a:t>
          </a:r>
        </a:p>
      </xdr:txBody>
    </xdr:sp>
    <xdr:clientData/>
  </xdr:twoCellAnchor>
  <xdr:twoCellAnchor>
    <xdr:from>
      <xdr:col>23</xdr:col>
      <xdr:colOff>163809</xdr:colOff>
      <xdr:row>6</xdr:row>
      <xdr:rowOff>98405</xdr:rowOff>
    </xdr:from>
    <xdr:to>
      <xdr:col>27</xdr:col>
      <xdr:colOff>173409</xdr:colOff>
      <xdr:row>12</xdr:row>
      <xdr:rowOff>133751</xdr:rowOff>
    </xdr:to>
    <xdr:sp macro="" textlink="">
      <xdr:nvSpPr>
        <xdr:cNvPr id="11" name="Rounded Rectangle 10"/>
        <xdr:cNvSpPr/>
      </xdr:nvSpPr>
      <xdr:spPr>
        <a:xfrm>
          <a:off x="14184609" y="1179060"/>
          <a:ext cx="2448000" cy="1116000"/>
        </a:xfrm>
        <a:prstGeom prst="roundRect">
          <a:avLst/>
        </a:prstGeom>
        <a:solidFill>
          <a:schemeClr val="tx2">
            <a:lumMod val="20000"/>
            <a:lumOff val="80000"/>
            <a:alpha val="95000"/>
          </a:schemeClr>
        </a:solidFill>
        <a:ln>
          <a:noFill/>
        </a:ln>
        <a:scene3d>
          <a:camera prst="obliqueTopRigh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Approval Rate (%)</a:t>
          </a:r>
        </a:p>
        <a:p>
          <a:pPr algn="ctr"/>
          <a:r>
            <a:rPr lang="en-US" sz="1800" b="1" i="0" u="none" strike="noStrike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65%</a:t>
          </a:r>
          <a:r>
            <a:rPr lang="en-US" sz="1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</a:t>
          </a:r>
        </a:p>
      </xdr:txBody>
    </xdr:sp>
    <xdr:clientData/>
  </xdr:twoCellAnchor>
  <xdr:twoCellAnchor>
    <xdr:from>
      <xdr:col>20</xdr:col>
      <xdr:colOff>415636</xdr:colOff>
      <xdr:row>16</xdr:row>
      <xdr:rowOff>114097</xdr:rowOff>
    </xdr:from>
    <xdr:to>
      <xdr:col>30</xdr:col>
      <xdr:colOff>79636</xdr:colOff>
      <xdr:row>34</xdr:row>
      <xdr:rowOff>112133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351030</xdr:colOff>
      <xdr:row>16</xdr:row>
      <xdr:rowOff>113280</xdr:rowOff>
    </xdr:from>
    <xdr:to>
      <xdr:col>20</xdr:col>
      <xdr:colOff>15030</xdr:colOff>
      <xdr:row>34</xdr:row>
      <xdr:rowOff>111316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131690</xdr:colOff>
      <xdr:row>36</xdr:row>
      <xdr:rowOff>119800</xdr:rowOff>
    </xdr:from>
    <xdr:to>
      <xdr:col>14</xdr:col>
      <xdr:colOff>16490</xdr:colOff>
      <xdr:row>56</xdr:row>
      <xdr:rowOff>117618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jashri patel" refreshedDate="46033.909884375003" createdVersion="3" refreshedVersion="3" minRefreshableVersion="3" recordCount="20">
  <cacheSource type="worksheet">
    <worksheetSource name="LoanData"/>
  </cacheSource>
  <cacheFields count="9">
    <cacheField name="Loan_ID" numFmtId="0">
      <sharedItems count="20">
        <s v="BL001"/>
        <s v="BL002"/>
        <s v="BL003"/>
        <s v="BL004"/>
        <s v="BL005"/>
        <s v="BL006"/>
        <s v="BL007"/>
        <s v="BL008"/>
        <s v="BL009"/>
        <s v="BL010"/>
        <s v="BL011"/>
        <s v="BL012"/>
        <s v="BL013"/>
        <s v="BL014"/>
        <s v="BL015"/>
        <s v="BL016"/>
        <s v="BL017"/>
        <s v="BL018"/>
        <s v="BL019"/>
        <s v="BL020"/>
      </sharedItems>
    </cacheField>
    <cacheField name="Gender" numFmtId="0">
      <sharedItems containsBlank="1"/>
    </cacheField>
    <cacheField name="Education" numFmtId="0">
      <sharedItems containsBlank="1" count="3">
        <s v="Graduate"/>
        <s v="Not Graduate"/>
        <m u="1"/>
      </sharedItems>
    </cacheField>
    <cacheField name="ApplicantIncome" numFmtId="0">
      <sharedItems containsSemiMixedTypes="0" containsString="0" containsNumber="1" containsInteger="1" minValue="20000" maxValue="60000"/>
    </cacheField>
    <cacheField name="LoanAmount" numFmtId="0">
      <sharedItems containsString="0" containsBlank="1" containsNumber="1" containsInteger="1" minValue="120000" maxValue="260000"/>
    </cacheField>
    <cacheField name="Credit_History" numFmtId="0">
      <sharedItems containsSemiMixedTypes="0" containsString="0" containsNumber="1" containsInteger="1" minValue="0" maxValue="1" count="2">
        <n v="1"/>
        <n v="0"/>
      </sharedItems>
    </cacheField>
    <cacheField name="Loan_Term" numFmtId="0">
      <sharedItems containsSemiMixedTypes="0" containsString="0" containsNumber="1" containsInteger="1" minValue="360" maxValue="360"/>
    </cacheField>
    <cacheField name="Property_Area" numFmtId="0">
      <sharedItems count="3">
        <s v="Urban"/>
        <s v="Semiurban"/>
        <s v="Rural"/>
      </sharedItems>
    </cacheField>
    <cacheField name="Loan_Status" numFmtId="0">
      <sharedItems count="2">
        <s v="Y"/>
        <s v="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s v="Male"/>
    <x v="0"/>
    <n v="50000"/>
    <n v="200000"/>
    <x v="0"/>
    <n v="360"/>
    <x v="0"/>
    <x v="0"/>
  </r>
  <r>
    <x v="1"/>
    <s v="Female"/>
    <x v="0"/>
    <n v="30000"/>
    <n v="150000"/>
    <x v="0"/>
    <n v="360"/>
    <x v="1"/>
    <x v="0"/>
  </r>
  <r>
    <x v="2"/>
    <s v="Male"/>
    <x v="1"/>
    <n v="25000"/>
    <n v="180000"/>
    <x v="1"/>
    <n v="360"/>
    <x v="2"/>
    <x v="1"/>
  </r>
  <r>
    <x v="3"/>
    <s v="Male"/>
    <x v="0"/>
    <n v="40000"/>
    <n v="210000"/>
    <x v="0"/>
    <n v="360"/>
    <x v="0"/>
    <x v="0"/>
  </r>
  <r>
    <x v="4"/>
    <m/>
    <x v="0"/>
    <n v="27000"/>
    <n v="160000"/>
    <x v="0"/>
    <n v="360"/>
    <x v="1"/>
    <x v="0"/>
  </r>
  <r>
    <x v="5"/>
    <s v="Female"/>
    <x v="1"/>
    <n v="20000"/>
    <n v="120000"/>
    <x v="1"/>
    <n v="360"/>
    <x v="2"/>
    <x v="1"/>
  </r>
  <r>
    <x v="6"/>
    <s v="Male"/>
    <x v="0"/>
    <n v="60000"/>
    <n v="250000"/>
    <x v="0"/>
    <n v="360"/>
    <x v="0"/>
    <x v="0"/>
  </r>
  <r>
    <x v="7"/>
    <s v="Female"/>
    <x v="0"/>
    <n v="35000"/>
    <m/>
    <x v="0"/>
    <n v="360"/>
    <x v="0"/>
    <x v="0"/>
  </r>
  <r>
    <x v="8"/>
    <s v="Male"/>
    <x v="1"/>
    <n v="22000"/>
    <n v="140000"/>
    <x v="1"/>
    <n v="360"/>
    <x v="2"/>
    <x v="1"/>
  </r>
  <r>
    <x v="9"/>
    <s v="Male"/>
    <x v="0"/>
    <n v="45000"/>
    <n v="230000"/>
    <x v="0"/>
    <n v="360"/>
    <x v="1"/>
    <x v="0"/>
  </r>
  <r>
    <x v="10"/>
    <s v="Female"/>
    <x v="0"/>
    <n v="38000"/>
    <n v="190000"/>
    <x v="0"/>
    <n v="360"/>
    <x v="0"/>
    <x v="0"/>
  </r>
  <r>
    <x v="11"/>
    <s v="Male"/>
    <x v="1"/>
    <n v="26000"/>
    <n v="170000"/>
    <x v="1"/>
    <n v="360"/>
    <x v="2"/>
    <x v="1"/>
  </r>
  <r>
    <x v="12"/>
    <s v="Male"/>
    <x v="0"/>
    <n v="52000"/>
    <n v="240000"/>
    <x v="0"/>
    <n v="360"/>
    <x v="0"/>
    <x v="0"/>
  </r>
  <r>
    <x v="13"/>
    <s v="Female"/>
    <x v="1"/>
    <n v="21000"/>
    <n v="130000"/>
    <x v="1"/>
    <n v="360"/>
    <x v="1"/>
    <x v="1"/>
  </r>
  <r>
    <x v="14"/>
    <s v="Male"/>
    <x v="0"/>
    <n v="48000"/>
    <n v="220000"/>
    <x v="0"/>
    <n v="360"/>
    <x v="0"/>
    <x v="0"/>
  </r>
  <r>
    <x v="15"/>
    <s v="Female"/>
    <x v="0"/>
    <n v="33000"/>
    <n v="180000"/>
    <x v="0"/>
    <n v="360"/>
    <x v="0"/>
    <x v="0"/>
  </r>
  <r>
    <x v="16"/>
    <s v="Male"/>
    <x v="1"/>
    <n v="24000"/>
    <n v="150000"/>
    <x v="1"/>
    <n v="360"/>
    <x v="2"/>
    <x v="1"/>
  </r>
  <r>
    <x v="17"/>
    <m/>
    <x v="0"/>
    <n v="41000"/>
    <n v="200000"/>
    <x v="0"/>
    <n v="360"/>
    <x v="1"/>
    <x v="0"/>
  </r>
  <r>
    <x v="18"/>
    <s v="Male"/>
    <x v="0"/>
    <n v="55000"/>
    <n v="260000"/>
    <x v="0"/>
    <n v="360"/>
    <x v="0"/>
    <x v="0"/>
  </r>
  <r>
    <x v="19"/>
    <s v="Female"/>
    <x v="1"/>
    <n v="23000"/>
    <n v="140000"/>
    <x v="1"/>
    <n v="36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9">
  <location ref="A15:B18" firstHeaderRow="1" firstDataRow="1" firstDataCol="1"/>
  <pivotFields count="9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Loan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E4:H8" firstHeaderRow="1" firstDataRow="2" firstDataCol="1"/>
  <pivotFields count="9">
    <pivotField dataField="1" showAll="0"/>
    <pivotField showAll="0"/>
    <pivotField axis="axisRow" showAll="0">
      <items count="4">
        <item x="0"/>
        <item x="1"/>
        <item h="1" m="1"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0">
  <location ref="F22:G26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an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missingCaption="0" updatedVersion="3" minRefreshableVersion="3" showCalcMbrs="0" useAutoFormatting="1" itemPrintTitles="1" createdVersion="3" indent="0" outline="1" outlineData="1" multipleFieldFilters="0" chartFormat="5">
  <location ref="P6:T28" firstHeaderRow="1" firstDataRow="2" firstDataCol="1"/>
  <pivotFields count="9">
    <pivotField axis="axisRow" showAll="0">
      <items count="21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LoanAmount" fld="4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26:B29" firstHeaderRow="1" firstDataRow="1" firstDataCol="1"/>
  <pivotFields count="9"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L21:O25" firstHeaderRow="1" firstDataRow="2" firstDataCol="1"/>
  <pivotFields count="9">
    <pivotField dataField="1" showAll="0"/>
    <pivotField showAll="0"/>
    <pivotField axis="axisRow" showAll="0">
      <items count="4">
        <item x="0"/>
        <item x="1"/>
        <item n="Blank" h="1" m="1"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M9:M10" firstHeaderRow="1" firstDataRow="1" firstDataCol="0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J30:J31" firstHeaderRow="1" firstDataRow="1" firstDataCol="0"/>
  <pivotFields count="9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LoanAmount" fld="4" baseField="0" baseItem="0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3:B6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Loan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J6:J7" firstHeaderRow="1" firstDataRow="1" firstDataCol="0"/>
  <pivotFields count="9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LoanAmount" fld="4" subtotal="count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LoanData" displayName="LoanData" ref="A1:I21" totalsRowShown="0">
  <autoFilter ref="A1:I21"/>
  <tableColumns count="9">
    <tableColumn id="1" name="Loan_ID"/>
    <tableColumn id="2" name="Gender"/>
    <tableColumn id="3" name="Education"/>
    <tableColumn id="4" name="ApplicantIncome"/>
    <tableColumn id="5" name="LoanAmount"/>
    <tableColumn id="6" name="Credit_History"/>
    <tableColumn id="7" name="Loan_Term"/>
    <tableColumn id="8" name="Property_Area"/>
    <tableColumn id="9" name="Loan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T31"/>
  <sheetViews>
    <sheetView topLeftCell="D1" workbookViewId="0">
      <selection activeCell="P7" sqref="P7"/>
    </sheetView>
  </sheetViews>
  <sheetFormatPr defaultRowHeight="14.4"/>
  <cols>
    <col min="1" max="1" width="12.5546875" bestFit="1" customWidth="1"/>
    <col min="2" max="2" width="15.77734375" customWidth="1"/>
    <col min="5" max="5" width="15.77734375" bestFit="1" customWidth="1"/>
    <col min="6" max="6" width="12.5546875" customWidth="1"/>
    <col min="7" max="7" width="15.77734375" customWidth="1"/>
    <col min="8" max="8" width="10.77734375" bestFit="1" customWidth="1"/>
    <col min="10" max="10" width="18.6640625" customWidth="1"/>
    <col min="12" max="12" width="15.77734375" bestFit="1" customWidth="1"/>
    <col min="13" max="13" width="15.77734375" customWidth="1"/>
    <col min="14" max="14" width="3" customWidth="1"/>
    <col min="15" max="15" width="10.77734375" bestFit="1" customWidth="1"/>
    <col min="16" max="16" width="18.6640625" bestFit="1" customWidth="1"/>
    <col min="17" max="17" width="15.5546875" customWidth="1"/>
    <col min="18" max="18" width="10.109375" bestFit="1" customWidth="1"/>
    <col min="19" max="19" width="8" customWidth="1"/>
    <col min="20" max="20" width="10.77734375" bestFit="1" customWidth="1"/>
  </cols>
  <sheetData>
    <row r="3" spans="1:20">
      <c r="A3" s="4" t="s">
        <v>43</v>
      </c>
      <c r="B3" t="s">
        <v>45</v>
      </c>
    </row>
    <row r="4" spans="1:20">
      <c r="A4" s="5" t="s">
        <v>20</v>
      </c>
      <c r="B4" s="6">
        <v>7</v>
      </c>
      <c r="E4" s="4" t="s">
        <v>45</v>
      </c>
      <c r="F4" s="4" t="s">
        <v>47</v>
      </c>
    </row>
    <row r="5" spans="1:20">
      <c r="A5" s="5" t="s">
        <v>13</v>
      </c>
      <c r="B5" s="6">
        <v>13</v>
      </c>
      <c r="E5" s="4" t="s">
        <v>43</v>
      </c>
      <c r="F5" t="s">
        <v>20</v>
      </c>
      <c r="G5" t="s">
        <v>13</v>
      </c>
      <c r="H5" t="s">
        <v>44</v>
      </c>
    </row>
    <row r="6" spans="1:20">
      <c r="A6" s="5" t="s">
        <v>44</v>
      </c>
      <c r="B6" s="6">
        <v>20</v>
      </c>
      <c r="E6" s="5" t="s">
        <v>11</v>
      </c>
      <c r="F6" s="6"/>
      <c r="G6" s="6">
        <v>13</v>
      </c>
      <c r="H6" s="6">
        <v>13</v>
      </c>
      <c r="J6" t="s">
        <v>46</v>
      </c>
      <c r="P6" s="4" t="s">
        <v>48</v>
      </c>
      <c r="Q6" s="4" t="s">
        <v>47</v>
      </c>
    </row>
    <row r="7" spans="1:20">
      <c r="E7" s="5" t="s">
        <v>18</v>
      </c>
      <c r="F7" s="6">
        <v>7</v>
      </c>
      <c r="G7" s="6"/>
      <c r="H7" s="6">
        <v>7</v>
      </c>
      <c r="J7" s="6">
        <v>19</v>
      </c>
      <c r="P7" s="4" t="s">
        <v>43</v>
      </c>
      <c r="Q7" t="s">
        <v>19</v>
      </c>
      <c r="R7" t="s">
        <v>16</v>
      </c>
      <c r="S7" t="s">
        <v>12</v>
      </c>
      <c r="T7" t="s">
        <v>44</v>
      </c>
    </row>
    <row r="8" spans="1:20">
      <c r="E8" s="5" t="s">
        <v>44</v>
      </c>
      <c r="F8" s="6">
        <v>7</v>
      </c>
      <c r="G8" s="6">
        <v>13</v>
      </c>
      <c r="H8" s="6">
        <v>20</v>
      </c>
      <c r="P8" s="5" t="s">
        <v>9</v>
      </c>
      <c r="Q8" s="6">
        <v>0</v>
      </c>
      <c r="R8" s="6">
        <v>0</v>
      </c>
      <c r="S8" s="6">
        <v>200000</v>
      </c>
      <c r="T8" s="6">
        <v>200000</v>
      </c>
    </row>
    <row r="9" spans="1:20">
      <c r="M9" t="s">
        <v>45</v>
      </c>
      <c r="P9" s="5" t="s">
        <v>14</v>
      </c>
      <c r="Q9" s="6">
        <v>0</v>
      </c>
      <c r="R9" s="6">
        <v>150000</v>
      </c>
      <c r="S9" s="6">
        <v>0</v>
      </c>
      <c r="T9" s="6">
        <v>150000</v>
      </c>
    </row>
    <row r="10" spans="1:20">
      <c r="M10" s="6">
        <v>20</v>
      </c>
      <c r="P10" s="5" t="s">
        <v>17</v>
      </c>
      <c r="Q10" s="6">
        <v>180000</v>
      </c>
      <c r="R10" s="6">
        <v>0</v>
      </c>
      <c r="S10" s="6">
        <v>0</v>
      </c>
      <c r="T10" s="6">
        <v>180000</v>
      </c>
    </row>
    <row r="11" spans="1:20">
      <c r="P11" s="5" t="s">
        <v>21</v>
      </c>
      <c r="Q11" s="6">
        <v>0</v>
      </c>
      <c r="R11" s="6">
        <v>0</v>
      </c>
      <c r="S11" s="6">
        <v>210000</v>
      </c>
      <c r="T11" s="6">
        <v>210000</v>
      </c>
    </row>
    <row r="12" spans="1:20">
      <c r="P12" s="5" t="s">
        <v>22</v>
      </c>
      <c r="Q12" s="6">
        <v>0</v>
      </c>
      <c r="R12" s="6">
        <v>160000</v>
      </c>
      <c r="S12" s="6">
        <v>0</v>
      </c>
      <c r="T12" s="6">
        <v>160000</v>
      </c>
    </row>
    <row r="13" spans="1:20">
      <c r="P13" s="5" t="s">
        <v>23</v>
      </c>
      <c r="Q13" s="6">
        <v>120000</v>
      </c>
      <c r="R13" s="6">
        <v>0</v>
      </c>
      <c r="S13" s="6">
        <v>0</v>
      </c>
      <c r="T13" s="6">
        <v>120000</v>
      </c>
    </row>
    <row r="14" spans="1:20">
      <c r="P14" s="5" t="s">
        <v>24</v>
      </c>
      <c r="Q14" s="6">
        <v>0</v>
      </c>
      <c r="R14" s="6">
        <v>0</v>
      </c>
      <c r="S14" s="6">
        <v>250000</v>
      </c>
      <c r="T14" s="6">
        <v>250000</v>
      </c>
    </row>
    <row r="15" spans="1:20">
      <c r="A15" s="4" t="s">
        <v>43</v>
      </c>
      <c r="B15" t="s">
        <v>45</v>
      </c>
      <c r="P15" s="5" t="s">
        <v>25</v>
      </c>
      <c r="Q15" s="6">
        <v>0</v>
      </c>
      <c r="R15" s="6">
        <v>0</v>
      </c>
      <c r="S15" s="6">
        <v>0</v>
      </c>
      <c r="T15" s="6">
        <v>0</v>
      </c>
    </row>
    <row r="16" spans="1:20">
      <c r="A16" s="5">
        <v>0</v>
      </c>
      <c r="B16" s="6">
        <v>7</v>
      </c>
      <c r="P16" s="5" t="s">
        <v>26</v>
      </c>
      <c r="Q16" s="6">
        <v>140000</v>
      </c>
      <c r="R16" s="6">
        <v>0</v>
      </c>
      <c r="S16" s="6">
        <v>0</v>
      </c>
      <c r="T16" s="6">
        <v>140000</v>
      </c>
    </row>
    <row r="17" spans="1:20">
      <c r="A17" s="5">
        <v>1</v>
      </c>
      <c r="B17" s="6">
        <v>13</v>
      </c>
      <c r="P17" s="5" t="s">
        <v>27</v>
      </c>
      <c r="Q17" s="6">
        <v>0</v>
      </c>
      <c r="R17" s="6">
        <v>230000</v>
      </c>
      <c r="S17" s="6">
        <v>0</v>
      </c>
      <c r="T17" s="6">
        <v>230000</v>
      </c>
    </row>
    <row r="18" spans="1:20">
      <c r="A18" s="5" t="s">
        <v>44</v>
      </c>
      <c r="B18" s="6">
        <v>20</v>
      </c>
      <c r="P18" s="5" t="s">
        <v>28</v>
      </c>
      <c r="Q18" s="6">
        <v>0</v>
      </c>
      <c r="R18" s="6">
        <v>0</v>
      </c>
      <c r="S18" s="6">
        <v>190000</v>
      </c>
      <c r="T18" s="6">
        <v>190000</v>
      </c>
    </row>
    <row r="19" spans="1:20">
      <c r="P19" s="5" t="s">
        <v>29</v>
      </c>
      <c r="Q19" s="6">
        <v>170000</v>
      </c>
      <c r="R19" s="6">
        <v>0</v>
      </c>
      <c r="S19" s="6">
        <v>0</v>
      </c>
      <c r="T19" s="6">
        <v>170000</v>
      </c>
    </row>
    <row r="20" spans="1:20">
      <c r="P20" s="5" t="s">
        <v>30</v>
      </c>
      <c r="Q20" s="6">
        <v>0</v>
      </c>
      <c r="R20" s="6">
        <v>0</v>
      </c>
      <c r="S20" s="6">
        <v>240000</v>
      </c>
      <c r="T20" s="6">
        <v>240000</v>
      </c>
    </row>
    <row r="21" spans="1:20">
      <c r="L21" s="4" t="s">
        <v>45</v>
      </c>
      <c r="M21" s="4" t="s">
        <v>47</v>
      </c>
      <c r="P21" s="5" t="s">
        <v>31</v>
      </c>
      <c r="Q21" s="6">
        <v>0</v>
      </c>
      <c r="R21" s="6">
        <v>130000</v>
      </c>
      <c r="S21" s="6">
        <v>0</v>
      </c>
      <c r="T21" s="6">
        <v>130000</v>
      </c>
    </row>
    <row r="22" spans="1:20">
      <c r="F22" s="4" t="s">
        <v>43</v>
      </c>
      <c r="G22" t="s">
        <v>45</v>
      </c>
      <c r="L22" s="4" t="s">
        <v>43</v>
      </c>
      <c r="M22" t="s">
        <v>20</v>
      </c>
      <c r="N22" t="s">
        <v>13</v>
      </c>
      <c r="O22" t="s">
        <v>44</v>
      </c>
      <c r="P22" s="5" t="s">
        <v>32</v>
      </c>
      <c r="Q22" s="6">
        <v>0</v>
      </c>
      <c r="R22" s="6">
        <v>0</v>
      </c>
      <c r="S22" s="6">
        <v>220000</v>
      </c>
      <c r="T22" s="6">
        <v>220000</v>
      </c>
    </row>
    <row r="23" spans="1:20">
      <c r="F23" s="5" t="s">
        <v>19</v>
      </c>
      <c r="G23" s="6">
        <v>6</v>
      </c>
      <c r="L23" s="5" t="s">
        <v>11</v>
      </c>
      <c r="M23" s="6"/>
      <c r="N23" s="6">
        <v>13</v>
      </c>
      <c r="O23" s="6">
        <v>13</v>
      </c>
      <c r="P23" s="5" t="s">
        <v>33</v>
      </c>
      <c r="Q23" s="6">
        <v>0</v>
      </c>
      <c r="R23" s="6">
        <v>0</v>
      </c>
      <c r="S23" s="6">
        <v>180000</v>
      </c>
      <c r="T23" s="6">
        <v>180000</v>
      </c>
    </row>
    <row r="24" spans="1:20">
      <c r="F24" s="5" t="s">
        <v>16</v>
      </c>
      <c r="G24" s="6">
        <v>5</v>
      </c>
      <c r="L24" s="5" t="s">
        <v>18</v>
      </c>
      <c r="M24" s="6">
        <v>7</v>
      </c>
      <c r="N24" s="6"/>
      <c r="O24" s="6">
        <v>7</v>
      </c>
      <c r="P24" s="5" t="s">
        <v>34</v>
      </c>
      <c r="Q24" s="6">
        <v>150000</v>
      </c>
      <c r="R24" s="6">
        <v>0</v>
      </c>
      <c r="S24" s="6">
        <v>0</v>
      </c>
      <c r="T24" s="6">
        <v>150000</v>
      </c>
    </row>
    <row r="25" spans="1:20">
      <c r="F25" s="5" t="s">
        <v>12</v>
      </c>
      <c r="G25" s="6">
        <v>9</v>
      </c>
      <c r="L25" s="5" t="s">
        <v>44</v>
      </c>
      <c r="M25" s="6">
        <v>7</v>
      </c>
      <c r="N25" s="6">
        <v>13</v>
      </c>
      <c r="O25" s="6">
        <v>20</v>
      </c>
      <c r="P25" s="5" t="s">
        <v>35</v>
      </c>
      <c r="Q25" s="6">
        <v>0</v>
      </c>
      <c r="R25" s="6">
        <v>200000</v>
      </c>
      <c r="S25" s="6">
        <v>0</v>
      </c>
      <c r="T25" s="6">
        <v>200000</v>
      </c>
    </row>
    <row r="26" spans="1:20">
      <c r="B26" s="4" t="s">
        <v>43</v>
      </c>
      <c r="F26" s="5" t="s">
        <v>44</v>
      </c>
      <c r="G26" s="6">
        <v>20</v>
      </c>
      <c r="P26" s="5" t="s">
        <v>36</v>
      </c>
      <c r="Q26" s="6">
        <v>0</v>
      </c>
      <c r="R26" s="6">
        <v>0</v>
      </c>
      <c r="S26" s="6">
        <v>260000</v>
      </c>
      <c r="T26" s="6">
        <v>260000</v>
      </c>
    </row>
    <row r="27" spans="1:20">
      <c r="B27" s="5" t="s">
        <v>11</v>
      </c>
      <c r="P27" s="5" t="s">
        <v>37</v>
      </c>
      <c r="Q27" s="6">
        <v>140000</v>
      </c>
      <c r="R27" s="6">
        <v>0</v>
      </c>
      <c r="S27" s="6">
        <v>0</v>
      </c>
      <c r="T27" s="6">
        <v>140000</v>
      </c>
    </row>
    <row r="28" spans="1:20">
      <c r="B28" s="5" t="s">
        <v>18</v>
      </c>
      <c r="P28" s="5" t="s">
        <v>44</v>
      </c>
      <c r="Q28" s="6">
        <v>900000</v>
      </c>
      <c r="R28" s="6">
        <v>870000</v>
      </c>
      <c r="S28" s="6">
        <v>1750000</v>
      </c>
      <c r="T28" s="6">
        <v>3520000</v>
      </c>
    </row>
    <row r="29" spans="1:20">
      <c r="B29" s="5" t="s">
        <v>44</v>
      </c>
    </row>
    <row r="30" spans="1:20">
      <c r="J30" t="s">
        <v>48</v>
      </c>
    </row>
    <row r="31" spans="1:20">
      <c r="J31" s="6">
        <v>3520000</v>
      </c>
    </row>
  </sheetData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sqref="A1:XFD21"/>
    </sheetView>
  </sheetViews>
  <sheetFormatPr defaultRowHeight="14.4"/>
  <cols>
    <col min="1" max="1" width="9.6640625" customWidth="1"/>
    <col min="3" max="3" width="11" customWidth="1"/>
    <col min="4" max="4" width="16.5546875" customWidth="1"/>
    <col min="5" max="5" width="13.33203125" customWidth="1"/>
    <col min="6" max="6" width="14.5546875" customWidth="1"/>
    <col min="7" max="7" width="12.109375" customWidth="1"/>
    <col min="8" max="8" width="14.6640625" customWidth="1"/>
    <col min="9" max="9" width="12.8867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50000</v>
      </c>
      <c r="E2">
        <v>200000</v>
      </c>
      <c r="F2">
        <v>1</v>
      </c>
      <c r="G2">
        <v>360</v>
      </c>
      <c r="H2" t="s">
        <v>12</v>
      </c>
      <c r="I2" t="s">
        <v>13</v>
      </c>
    </row>
    <row r="3" spans="1:9">
      <c r="A3" t="s">
        <v>14</v>
      </c>
      <c r="B3" t="s">
        <v>15</v>
      </c>
      <c r="C3" t="s">
        <v>11</v>
      </c>
      <c r="D3">
        <v>30000</v>
      </c>
      <c r="E3">
        <v>150000</v>
      </c>
      <c r="F3">
        <v>1</v>
      </c>
      <c r="G3">
        <v>360</v>
      </c>
      <c r="H3" t="s">
        <v>16</v>
      </c>
      <c r="I3" t="s">
        <v>13</v>
      </c>
    </row>
    <row r="4" spans="1:9">
      <c r="A4" t="s">
        <v>17</v>
      </c>
      <c r="B4" t="s">
        <v>10</v>
      </c>
      <c r="C4" t="s">
        <v>18</v>
      </c>
      <c r="D4">
        <v>25000</v>
      </c>
      <c r="E4">
        <v>180000</v>
      </c>
      <c r="F4">
        <v>0</v>
      </c>
      <c r="G4">
        <v>360</v>
      </c>
      <c r="H4" t="s">
        <v>19</v>
      </c>
      <c r="I4" t="s">
        <v>20</v>
      </c>
    </row>
    <row r="5" spans="1:9">
      <c r="A5" t="s">
        <v>21</v>
      </c>
      <c r="B5" t="s">
        <v>10</v>
      </c>
      <c r="C5" t="s">
        <v>11</v>
      </c>
      <c r="D5">
        <v>40000</v>
      </c>
      <c r="E5">
        <v>210000</v>
      </c>
      <c r="F5">
        <v>1</v>
      </c>
      <c r="G5">
        <v>360</v>
      </c>
      <c r="H5" t="s">
        <v>12</v>
      </c>
      <c r="I5" t="s">
        <v>13</v>
      </c>
    </row>
    <row r="6" spans="1:9">
      <c r="A6" t="s">
        <v>22</v>
      </c>
      <c r="C6" t="s">
        <v>11</v>
      </c>
      <c r="D6">
        <v>27000</v>
      </c>
      <c r="E6">
        <v>160000</v>
      </c>
      <c r="F6">
        <v>1</v>
      </c>
      <c r="G6">
        <v>360</v>
      </c>
      <c r="H6" t="s">
        <v>16</v>
      </c>
      <c r="I6" t="s">
        <v>13</v>
      </c>
    </row>
    <row r="7" spans="1:9">
      <c r="A7" t="s">
        <v>23</v>
      </c>
      <c r="B7" t="s">
        <v>15</v>
      </c>
      <c r="C7" t="s">
        <v>18</v>
      </c>
      <c r="D7">
        <v>20000</v>
      </c>
      <c r="E7">
        <v>120000</v>
      </c>
      <c r="F7">
        <v>0</v>
      </c>
      <c r="G7">
        <v>360</v>
      </c>
      <c r="H7" t="s">
        <v>19</v>
      </c>
      <c r="I7" t="s">
        <v>20</v>
      </c>
    </row>
    <row r="8" spans="1:9">
      <c r="A8" t="s">
        <v>24</v>
      </c>
      <c r="B8" t="s">
        <v>10</v>
      </c>
      <c r="C8" t="s">
        <v>11</v>
      </c>
      <c r="D8">
        <v>60000</v>
      </c>
      <c r="E8">
        <v>250000</v>
      </c>
      <c r="F8">
        <v>1</v>
      </c>
      <c r="G8">
        <v>360</v>
      </c>
      <c r="H8" t="s">
        <v>12</v>
      </c>
      <c r="I8" t="s">
        <v>13</v>
      </c>
    </row>
    <row r="9" spans="1:9">
      <c r="A9" t="s">
        <v>25</v>
      </c>
      <c r="B9" t="s">
        <v>15</v>
      </c>
      <c r="C9" t="s">
        <v>11</v>
      </c>
      <c r="D9">
        <v>35000</v>
      </c>
      <c r="F9">
        <v>1</v>
      </c>
      <c r="G9">
        <v>360</v>
      </c>
      <c r="H9" t="s">
        <v>12</v>
      </c>
      <c r="I9" t="s">
        <v>13</v>
      </c>
    </row>
    <row r="10" spans="1:9">
      <c r="A10" t="s">
        <v>26</v>
      </c>
      <c r="B10" t="s">
        <v>10</v>
      </c>
      <c r="C10" t="s">
        <v>18</v>
      </c>
      <c r="D10">
        <v>22000</v>
      </c>
      <c r="E10">
        <v>140000</v>
      </c>
      <c r="F10">
        <v>0</v>
      </c>
      <c r="G10">
        <v>360</v>
      </c>
      <c r="H10" t="s">
        <v>19</v>
      </c>
      <c r="I10" t="s">
        <v>20</v>
      </c>
    </row>
    <row r="11" spans="1:9">
      <c r="A11" t="s">
        <v>27</v>
      </c>
      <c r="B11" t="s">
        <v>10</v>
      </c>
      <c r="C11" t="s">
        <v>11</v>
      </c>
      <c r="D11">
        <v>45000</v>
      </c>
      <c r="E11">
        <v>230000</v>
      </c>
      <c r="F11">
        <v>1</v>
      </c>
      <c r="G11">
        <v>360</v>
      </c>
      <c r="H11" t="s">
        <v>16</v>
      </c>
      <c r="I11" t="s">
        <v>13</v>
      </c>
    </row>
    <row r="12" spans="1:9">
      <c r="A12" t="s">
        <v>28</v>
      </c>
      <c r="B12" t="s">
        <v>15</v>
      </c>
      <c r="C12" t="s">
        <v>11</v>
      </c>
      <c r="D12">
        <v>38000</v>
      </c>
      <c r="E12">
        <v>190000</v>
      </c>
      <c r="F12">
        <v>1</v>
      </c>
      <c r="G12">
        <v>360</v>
      </c>
      <c r="H12" t="s">
        <v>12</v>
      </c>
      <c r="I12" t="s">
        <v>13</v>
      </c>
    </row>
    <row r="13" spans="1:9">
      <c r="A13" t="s">
        <v>29</v>
      </c>
      <c r="B13" t="s">
        <v>10</v>
      </c>
      <c r="C13" t="s">
        <v>18</v>
      </c>
      <c r="D13">
        <v>26000</v>
      </c>
      <c r="E13">
        <v>170000</v>
      </c>
      <c r="F13">
        <v>0</v>
      </c>
      <c r="G13">
        <v>360</v>
      </c>
      <c r="H13" t="s">
        <v>19</v>
      </c>
      <c r="I13" t="s">
        <v>20</v>
      </c>
    </row>
    <row r="14" spans="1:9">
      <c r="A14" t="s">
        <v>30</v>
      </c>
      <c r="B14" t="s">
        <v>10</v>
      </c>
      <c r="C14" t="s">
        <v>11</v>
      </c>
      <c r="D14">
        <v>52000</v>
      </c>
      <c r="E14">
        <v>240000</v>
      </c>
      <c r="F14">
        <v>1</v>
      </c>
      <c r="G14">
        <v>360</v>
      </c>
      <c r="H14" t="s">
        <v>12</v>
      </c>
      <c r="I14" t="s">
        <v>13</v>
      </c>
    </row>
    <row r="15" spans="1:9">
      <c r="A15" t="s">
        <v>31</v>
      </c>
      <c r="B15" t="s">
        <v>15</v>
      </c>
      <c r="C15" t="s">
        <v>18</v>
      </c>
      <c r="D15">
        <v>21000</v>
      </c>
      <c r="E15">
        <v>130000</v>
      </c>
      <c r="F15">
        <v>0</v>
      </c>
      <c r="G15">
        <v>360</v>
      </c>
      <c r="H15" t="s">
        <v>16</v>
      </c>
      <c r="I15" t="s">
        <v>20</v>
      </c>
    </row>
    <row r="16" spans="1:9">
      <c r="A16" t="s">
        <v>32</v>
      </c>
      <c r="B16" t="s">
        <v>10</v>
      </c>
      <c r="C16" t="s">
        <v>11</v>
      </c>
      <c r="D16">
        <v>48000</v>
      </c>
      <c r="E16">
        <v>220000</v>
      </c>
      <c r="F16">
        <v>1</v>
      </c>
      <c r="G16">
        <v>360</v>
      </c>
      <c r="H16" t="s">
        <v>12</v>
      </c>
      <c r="I16" t="s">
        <v>13</v>
      </c>
    </row>
    <row r="17" spans="1:9">
      <c r="A17" t="s">
        <v>33</v>
      </c>
      <c r="B17" t="s">
        <v>15</v>
      </c>
      <c r="C17" t="s">
        <v>11</v>
      </c>
      <c r="D17">
        <v>33000</v>
      </c>
      <c r="E17">
        <v>180000</v>
      </c>
      <c r="F17">
        <v>1</v>
      </c>
      <c r="G17">
        <v>360</v>
      </c>
      <c r="H17" t="s">
        <v>12</v>
      </c>
      <c r="I17" t="s">
        <v>13</v>
      </c>
    </row>
    <row r="18" spans="1:9">
      <c r="A18" t="s">
        <v>34</v>
      </c>
      <c r="B18" t="s">
        <v>10</v>
      </c>
      <c r="C18" t="s">
        <v>18</v>
      </c>
      <c r="D18">
        <v>24000</v>
      </c>
      <c r="E18">
        <v>150000</v>
      </c>
      <c r="F18">
        <v>0</v>
      </c>
      <c r="G18">
        <v>360</v>
      </c>
      <c r="H18" t="s">
        <v>19</v>
      </c>
      <c r="I18" t="s">
        <v>20</v>
      </c>
    </row>
    <row r="19" spans="1:9">
      <c r="A19" t="s">
        <v>35</v>
      </c>
      <c r="C19" t="s">
        <v>11</v>
      </c>
      <c r="D19">
        <v>41000</v>
      </c>
      <c r="E19">
        <v>200000</v>
      </c>
      <c r="F19">
        <v>1</v>
      </c>
      <c r="G19">
        <v>360</v>
      </c>
      <c r="H19" t="s">
        <v>16</v>
      </c>
      <c r="I19" t="s">
        <v>13</v>
      </c>
    </row>
    <row r="20" spans="1:9">
      <c r="A20" t="s">
        <v>36</v>
      </c>
      <c r="B20" t="s">
        <v>10</v>
      </c>
      <c r="C20" t="s">
        <v>11</v>
      </c>
      <c r="D20">
        <v>55000</v>
      </c>
      <c r="E20">
        <v>260000</v>
      </c>
      <c r="F20">
        <v>1</v>
      </c>
      <c r="G20">
        <v>360</v>
      </c>
      <c r="H20" t="s">
        <v>12</v>
      </c>
      <c r="I20" t="s">
        <v>13</v>
      </c>
    </row>
    <row r="21" spans="1:9">
      <c r="A21" t="s">
        <v>37</v>
      </c>
      <c r="B21" t="s">
        <v>15</v>
      </c>
      <c r="C21" t="s">
        <v>18</v>
      </c>
      <c r="D21">
        <v>23000</v>
      </c>
      <c r="E21">
        <v>140000</v>
      </c>
      <c r="F21">
        <v>0</v>
      </c>
      <c r="G21">
        <v>360</v>
      </c>
      <c r="H21" t="s">
        <v>19</v>
      </c>
      <c r="I21" t="s">
        <v>20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K2:L17"/>
  <sheetViews>
    <sheetView workbookViewId="0">
      <selection activeCell="G19" sqref="G19"/>
    </sheetView>
  </sheetViews>
  <sheetFormatPr defaultRowHeight="14.4"/>
  <cols>
    <col min="11" max="11" width="20.109375" customWidth="1"/>
    <col min="12" max="12" width="15.109375" customWidth="1"/>
  </cols>
  <sheetData>
    <row r="2" spans="11:12" ht="18" customHeight="1">
      <c r="K2" s="1" t="s">
        <v>38</v>
      </c>
      <c r="L2" s="2">
        <f>COUNTA(Raw_Data!A2:A21)</f>
        <v>20</v>
      </c>
    </row>
    <row r="3" spans="11:12">
      <c r="K3" s="1" t="s">
        <v>39</v>
      </c>
      <c r="L3">
        <f>COUNTIF(Raw_Data!I2:I21,"Y")</f>
        <v>13</v>
      </c>
    </row>
    <row r="4" spans="11:12">
      <c r="K4" s="1" t="s">
        <v>40</v>
      </c>
      <c r="L4">
        <f>COUNTIF(Raw_Data!I2:I21,"N")</f>
        <v>7</v>
      </c>
    </row>
    <row r="5" spans="11:12">
      <c r="K5" s="1" t="s">
        <v>41</v>
      </c>
      <c r="L5" s="3">
        <f>L3/L2</f>
        <v>0.65</v>
      </c>
    </row>
    <row r="6" spans="11:12">
      <c r="K6" s="1" t="s">
        <v>42</v>
      </c>
      <c r="L6">
        <f>AVERAGE(Raw_Data!E2:E21)</f>
        <v>185263.15789473685</v>
      </c>
    </row>
    <row r="17" spans="11:11">
      <c r="K17" t="e">
        <f>COUNTIF(Raw_Data!Loan_Status,"Approved")</f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zoomScale="55" zoomScaleNormal="55" workbookViewId="0">
      <selection activeCell="AG31" sqref="AG31"/>
    </sheetView>
  </sheetViews>
  <sheetFormatPr defaultRowHeight="14.4"/>
  <cols>
    <col min="1" max="16384" width="8.88671875" style="7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Raw_Data</vt:lpstr>
      <vt:lpstr>Clean_Data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rajashri patel</cp:lastModifiedBy>
  <dcterms:created xsi:type="dcterms:W3CDTF">2026-01-08T14:52:25Z</dcterms:created>
  <dcterms:modified xsi:type="dcterms:W3CDTF">2026-01-16T15:45:10Z</dcterms:modified>
</cp:coreProperties>
</file>